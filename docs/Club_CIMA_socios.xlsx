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es" sheetId="2" state="visible" r:id="rId2"/>
    <sheet name="So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Bs&quot; #,##0;(&quot;Bs&quot; #,##0);-"/>
    <numFmt numFmtId="165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2F4830"/>
      <sz val="14"/>
    </font>
    <font>
      <name val="Arial"/>
      <i val="1"/>
      <color rgb="005C6E55"/>
    </font>
    <font>
      <name val="Arial"/>
      <b val="1"/>
      <color rgb="00FFFFFF"/>
    </font>
    <font>
      <name val="Arial"/>
      <b val="1"/>
    </font>
    <font>
      <name val="Arial"/>
      <color rgb="000000FF"/>
    </font>
    <font>
      <name val="Arial"/>
      <color rgb="005C6E55"/>
      <sz val="9"/>
    </font>
    <font>
      <name val="Arial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2F4830"/>
      </patternFill>
    </fill>
    <fill>
      <patternFill patternType="solid">
        <fgColor rgb="00FFFF00"/>
      </patternFill>
    </fill>
    <fill>
      <patternFill patternType="solid">
        <fgColor rgb="00E5EFD2"/>
      </patternFill>
    </fill>
  </fills>
  <borders count="2">
    <border>
      <left/>
      <right/>
      <top/>
      <bottom/>
      <diagonal/>
    </border>
    <border>
      <bottom style="thin">
        <color rgb="00DDE5C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8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4" fillId="4" borderId="0" pivotButton="0" quotePrefix="0" xfId="0"/>
    <xf numFmtId="165" fontId="4" fillId="4" borderId="0" pivotButton="0" quotePrefix="0" xfId="0"/>
    <xf numFmtId="164" fontId="4" fillId="4" borderId="0" pivotButton="0" quotePrefix="0" xfId="0"/>
    <xf numFmtId="0" fontId="7" fillId="0" borderId="1" pivotButton="0" quotePrefix="0" xfId="0"/>
    <xf numFmtId="164" fontId="4" fillId="0" borderId="1" pivotButton="0" quotePrefix="0" xfId="0"/>
    <xf numFmtId="165" fontId="7" fillId="0" borderId="1" pivotButton="0" quotePrefix="0" xfId="0"/>
    <xf numFmtId="164" fontId="7" fillId="0" borderId="1" pivotButton="0" quotePrefix="0" xfId="0"/>
    <xf numFmtId="0" fontId="6" fillId="0" borderId="0" pivotButton="0" quotePrefix="0" xfId="0"/>
    <xf numFmtId="0" fontId="4" fillId="0" borderId="1" pivotButton="0" quotePrefix="0" xfId="0"/>
    <xf numFmtId="164" fontId="5" fillId="3" borderId="1" pivotButton="0" quotePrefix="0" xfId="0"/>
    <xf numFmtId="0" fontId="6" fillId="0" borderId="1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B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Club CIMA · Resumen del mes</t>
        </is>
      </c>
    </row>
    <row r="2">
      <c r="A2" s="2" t="inlineStr">
        <is>
          <t>Se calcula solo con los datos de las hojas Socios y Planes.</t>
        </is>
      </c>
    </row>
    <row r="4">
      <c r="A4" s="3" t="inlineStr">
        <is>
          <t>Plan</t>
        </is>
      </c>
      <c r="B4" s="3" t="inlineStr">
        <is>
          <t>Socios activos</t>
        </is>
      </c>
      <c r="C4" s="3" t="inlineStr">
        <is>
          <t>Ingreso esperado</t>
        </is>
      </c>
      <c r="D4" s="3" t="inlineStr">
        <is>
          <t>Ganancia esperada</t>
        </is>
      </c>
    </row>
    <row r="5">
      <c r="A5" s="4">
        <f>Planes!A5</f>
        <v/>
      </c>
      <c r="B5" s="5">
        <f>COUNTIFS(Socios!$D$5:$D$204,Planes!A5,Socios!$G$5:$G$204,"Activo")</f>
        <v/>
      </c>
      <c r="C5" s="6">
        <f>B5*Planes!B5</f>
        <v/>
      </c>
      <c r="D5" s="6">
        <f>B5*(Planes!B5-Planes!C5)</f>
        <v/>
      </c>
    </row>
    <row r="6">
      <c r="A6" s="4">
        <f>Planes!A6</f>
        <v/>
      </c>
      <c r="B6" s="5">
        <f>COUNTIFS(Socios!$D$5:$D$204,Planes!A6,Socios!$G$5:$G$204,"Activo")</f>
        <v/>
      </c>
      <c r="C6" s="6">
        <f>B6*Planes!B6</f>
        <v/>
      </c>
      <c r="D6" s="6">
        <f>B6*(Planes!B6-Planes!C6)</f>
        <v/>
      </c>
    </row>
    <row r="7">
      <c r="A7" s="4">
        <f>Planes!A7</f>
        <v/>
      </c>
      <c r="B7" s="5">
        <f>COUNTIFS(Socios!$D$5:$D$204,Planes!A7,Socios!$G$5:$G$204,"Activo")</f>
        <v/>
      </c>
      <c r="C7" s="6">
        <f>B7*Planes!B7</f>
        <v/>
      </c>
      <c r="D7" s="6">
        <f>B7*(Planes!B7-Planes!C7)</f>
        <v/>
      </c>
    </row>
    <row r="8">
      <c r="A8" s="7" t="inlineStr">
        <is>
          <t>Total</t>
        </is>
      </c>
      <c r="B8" s="8">
        <f>SUM(B5:B7)</f>
        <v/>
      </c>
      <c r="C8" s="9">
        <f>SUM(C5:C7)</f>
        <v/>
      </c>
      <c r="D8" s="9">
        <f>SUM(D5:D7)</f>
        <v/>
      </c>
    </row>
    <row r="10">
      <c r="A10" s="10" t="inlineStr">
        <is>
          <t>Cobrado este mes (activos que ya pagaron)</t>
        </is>
      </c>
      <c r="B10" s="11">
        <f>SUMIFS(Socios!$I$5:$I$204,Socios!$G$5:$G$204,"Activo",Socios!$H$5:$H$204,"Sí")</f>
        <v/>
      </c>
    </row>
    <row r="11">
      <c r="A11" s="10" t="inlineStr">
        <is>
          <t>Por cobrar este mes</t>
        </is>
      </c>
      <c r="B11" s="11">
        <f>C8-B10</f>
        <v/>
      </c>
    </row>
    <row r="12">
      <c r="A12" s="10" t="inlineStr">
        <is>
          <t>Socios activos que faltan pagar</t>
        </is>
      </c>
      <c r="B12" s="12">
        <f>COUNTIFS(Socios!$G$5:$G$204,"Activo",Socios!$H$5:$H$204,"No")+COUNTIFS(Socios!$G$5:$G$204,"Activo",Socios!$H$5:$H$204,"")</f>
        <v/>
      </c>
    </row>
    <row r="13">
      <c r="A13" s="10" t="inlineStr">
        <is>
          <t>Socios en pausa</t>
        </is>
      </c>
      <c r="B13" s="12">
        <f>COUNTIF(Socios!$G$5:$G$204,"Pausado")</f>
        <v/>
      </c>
    </row>
    <row r="14">
      <c r="A14" s="10" t="inlineStr">
        <is>
          <t>Socios que se dieron de baja</t>
        </is>
      </c>
      <c r="B14" s="12">
        <f>COUNTIF(Socios!$G$5:$G$204,"Baja")</f>
        <v/>
      </c>
    </row>
    <row r="15">
      <c r="A15" s="10" t="inlineStr">
        <is>
          <t>Ganancia esperada en un año (si se mantienen)</t>
        </is>
      </c>
      <c r="B15" s="13">
        <f>D8*12</f>
        <v/>
      </c>
    </row>
    <row r="17">
      <c r="A17" s="14" t="inlineStr">
        <is>
          <t>Nota: la fila de ejemplo de la hoja Socios cuenta en estos totales hasta que la borres.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4" customWidth="1" min="3" max="3"/>
    <col width="60" customWidth="1" min="4" max="4"/>
  </cols>
  <sheetData>
    <row r="1">
      <c r="A1" s="1" t="inlineStr">
        <is>
          <t>Club CIMA · Planes y costos</t>
        </is>
      </c>
    </row>
    <row r="2">
      <c r="A2" s="2" t="inlineStr">
        <is>
          <t>Cambia solo las celdas AZULES con fondo AMARILLO. Los precios y costos son EJEMPLOS: reemplázalos por los tuyos.</t>
        </is>
      </c>
    </row>
    <row r="4">
      <c r="A4" s="3" t="inlineStr">
        <is>
          <t>Plan</t>
        </is>
      </c>
      <c r="B4" s="3" t="inlineStr">
        <is>
          <t>Cuota mensual (Bs)</t>
        </is>
      </c>
      <c r="C4" s="3" t="inlineStr">
        <is>
          <t>Tu costo mensual por socio (Bs)</t>
        </is>
      </c>
      <c r="D4" s="3" t="inlineStr">
        <is>
          <t>Qué incluye / de dónde sale el costo</t>
        </is>
      </c>
    </row>
    <row r="5">
      <c r="A5" s="15" t="inlineStr">
        <is>
          <t>Club CIMA</t>
        </is>
      </c>
      <c r="B5" s="16" t="n">
        <v>40</v>
      </c>
      <c r="C5" s="16" t="n">
        <v>18</v>
      </c>
      <c r="D5" s="17" t="inlineStr">
        <is>
          <t>Ejemplo. Costo: plantines del mes + nutrientes A+B+C + entrega.</t>
        </is>
      </c>
    </row>
    <row r="6">
      <c r="A6" s="15" t="inlineStr">
        <is>
          <t>Club CIMA Plus</t>
        </is>
      </c>
      <c r="B6" s="16" t="n">
        <v>90</v>
      </c>
      <c r="C6" s="16" t="n">
        <v>45</v>
      </c>
      <c r="D6" s="17" t="inlineStr">
        <is>
          <t>Ejemplo. Costo: lo del Club + visita técnica cada 3 meses (prorrateada).</t>
        </is>
      </c>
    </row>
    <row r="7">
      <c r="A7" s="15" t="inlineStr">
        <is>
          <t>Sistema en cuotas</t>
        </is>
      </c>
      <c r="B7" s="16" t="n">
        <v>130</v>
      </c>
      <c r="C7" s="16" t="n">
        <v>60</v>
      </c>
      <c r="D7" s="17" t="inlineStr">
        <is>
          <t>Ejemplo: torre de Bs 650 en 6 cuotas con Club incluido. Costo: torre (Bs 250 / 6) + Club.</t>
        </is>
      </c>
    </row>
    <row r="9">
      <c r="A9" s="18" t="inlineStr">
        <is>
          <t>Estados de un socio</t>
        </is>
      </c>
    </row>
    <row r="10">
      <c r="A10" s="19" t="inlineStr">
        <is>
          <t>Activo</t>
        </is>
      </c>
      <c r="D10" s="14" t="inlineStr">
        <is>
          <t>Recibe entregas y paga cada mes.</t>
        </is>
      </c>
    </row>
    <row r="11">
      <c r="A11" s="19" t="inlineStr">
        <is>
          <t>Pausado</t>
        </is>
      </c>
      <c r="D11" s="14" t="inlineStr">
        <is>
          <t>Pidió una pausa: no recibe ni paga.</t>
        </is>
      </c>
    </row>
    <row r="12">
      <c r="A12" s="19" t="inlineStr">
        <is>
          <t>Baja</t>
        </is>
      </c>
      <c r="D12" s="14" t="inlineStr">
        <is>
          <t>Dejó el Club.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20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34" customWidth="1" min="10" max="10"/>
  </cols>
  <sheetData>
    <row r="1">
      <c r="A1" s="1" t="inlineStr">
        <is>
          <t>Club CIMA · Socios</t>
        </is>
      </c>
    </row>
    <row r="2">
      <c r="A2" s="2" t="inlineStr">
        <is>
          <t>Una fila por socio. La fila 5 es un EJEMPLO: bórrala o reemplázala. "Cuota" se llena sola según el plan. Al empezar cada mes, cambia "Pagó este mes" a No.</t>
        </is>
      </c>
    </row>
    <row r="4" ht="32" customHeight="1">
      <c r="A4" s="3" t="inlineStr">
        <is>
          <t>Nombre</t>
        </is>
      </c>
      <c r="B4" s="3" t="inlineStr">
        <is>
          <t>WhatsApp</t>
        </is>
      </c>
      <c r="C4" s="3" t="inlineStr">
        <is>
          <t>Zona</t>
        </is>
      </c>
      <c r="D4" s="3" t="inlineStr">
        <is>
          <t>Plan</t>
        </is>
      </c>
      <c r="E4" s="3" t="inlineStr">
        <is>
          <t>Fecha de inicio</t>
        </is>
      </c>
      <c r="F4" s="3" t="inlineStr">
        <is>
          <t>Día de entrega</t>
        </is>
      </c>
      <c r="G4" s="3" t="inlineStr">
        <is>
          <t>Estado</t>
        </is>
      </c>
      <c r="H4" s="3" t="inlineStr">
        <is>
          <t>Pagó este mes</t>
        </is>
      </c>
      <c r="I4" s="3" t="inlineStr">
        <is>
          <t>Cuota (Bs)</t>
        </is>
      </c>
      <c r="J4" s="3" t="inlineStr">
        <is>
          <t>Notas</t>
        </is>
      </c>
    </row>
    <row r="5">
      <c r="A5" s="20" t="inlineStr">
        <is>
          <t>Ejemplo: María Quispe</t>
        </is>
      </c>
      <c r="B5" s="20" t="inlineStr">
        <is>
          <t>70000000</t>
        </is>
      </c>
      <c r="C5" s="20" t="inlineStr">
        <is>
          <t>El Alto - Villa Adela</t>
        </is>
      </c>
      <c r="D5" s="20" t="inlineStr">
        <is>
          <t>Club CIMA</t>
        </is>
      </c>
      <c r="E5" s="20" t="inlineStr">
        <is>
          <t>2026-10-06</t>
        </is>
      </c>
      <c r="F5" s="20" t="n">
        <v>5</v>
      </c>
      <c r="G5" s="20" t="inlineStr">
        <is>
          <t>Activo</t>
        </is>
      </c>
      <c r="H5" s="20" t="inlineStr">
        <is>
          <t>Sí</t>
        </is>
      </c>
      <c r="I5" s="13">
        <f>IF(D5="","",IFERROR(INDEX(Planes!$B$5:$B$7,MATCH(D5,Planes!$A$5:$A$7,0)),0))</f>
        <v/>
      </c>
      <c r="J5" s="20" t="inlineStr">
        <is>
          <t>Ejemplo: prefiere entrega en la tarde</t>
        </is>
      </c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13">
        <f>IF(D6="","",IFERROR(INDEX(Planes!$B$5:$B$7,MATCH(D6,Planes!$A$5:$A$7,0)),0))</f>
        <v/>
      </c>
      <c r="J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13">
        <f>IF(D7="","",IFERROR(INDEX(Planes!$B$5:$B$7,MATCH(D7,Planes!$A$5:$A$7,0)),0))</f>
        <v/>
      </c>
      <c r="J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13">
        <f>IF(D8="","",IFERROR(INDEX(Planes!$B$5:$B$7,MATCH(D8,Planes!$A$5:$A$7,0)),0))</f>
        <v/>
      </c>
      <c r="J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13">
        <f>IF(D9="","",IFERROR(INDEX(Planes!$B$5:$B$7,MATCH(D9,Planes!$A$5:$A$7,0)),0))</f>
        <v/>
      </c>
      <c r="J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13">
        <f>IF(D10="","",IFERROR(INDEX(Planes!$B$5:$B$7,MATCH(D10,Planes!$A$5:$A$7,0)),0))</f>
        <v/>
      </c>
      <c r="J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13">
        <f>IF(D11="","",IFERROR(INDEX(Planes!$B$5:$B$7,MATCH(D11,Planes!$A$5:$A$7,0)),0))</f>
        <v/>
      </c>
      <c r="J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13">
        <f>IF(D12="","",IFERROR(INDEX(Planes!$B$5:$B$7,MATCH(D12,Planes!$A$5:$A$7,0)),0))</f>
        <v/>
      </c>
      <c r="J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13">
        <f>IF(D13="","",IFERROR(INDEX(Planes!$B$5:$B$7,MATCH(D13,Planes!$A$5:$A$7,0)),0))</f>
        <v/>
      </c>
      <c r="J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13">
        <f>IF(D14="","",IFERROR(INDEX(Planes!$B$5:$B$7,MATCH(D14,Planes!$A$5:$A$7,0)),0))</f>
        <v/>
      </c>
      <c r="J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13">
        <f>IF(D15="","",IFERROR(INDEX(Planes!$B$5:$B$7,MATCH(D15,Planes!$A$5:$A$7,0)),0))</f>
        <v/>
      </c>
      <c r="J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13">
        <f>IF(D16="","",IFERROR(INDEX(Planes!$B$5:$B$7,MATCH(D16,Planes!$A$5:$A$7,0)),0))</f>
        <v/>
      </c>
      <c r="J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13">
        <f>IF(D17="","",IFERROR(INDEX(Planes!$B$5:$B$7,MATCH(D17,Planes!$A$5:$A$7,0)),0))</f>
        <v/>
      </c>
      <c r="J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13">
        <f>IF(D18="","",IFERROR(INDEX(Planes!$B$5:$B$7,MATCH(D18,Planes!$A$5:$A$7,0)),0))</f>
        <v/>
      </c>
      <c r="J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13">
        <f>IF(D19="","",IFERROR(INDEX(Planes!$B$5:$B$7,MATCH(D19,Planes!$A$5:$A$7,0)),0))</f>
        <v/>
      </c>
      <c r="J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13">
        <f>IF(D20="","",IFERROR(INDEX(Planes!$B$5:$B$7,MATCH(D20,Planes!$A$5:$A$7,0)),0))</f>
        <v/>
      </c>
      <c r="J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13">
        <f>IF(D21="","",IFERROR(INDEX(Planes!$B$5:$B$7,MATCH(D21,Planes!$A$5:$A$7,0)),0))</f>
        <v/>
      </c>
      <c r="J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13">
        <f>IF(D22="","",IFERROR(INDEX(Planes!$B$5:$B$7,MATCH(D22,Planes!$A$5:$A$7,0)),0))</f>
        <v/>
      </c>
      <c r="J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13">
        <f>IF(D23="","",IFERROR(INDEX(Planes!$B$5:$B$7,MATCH(D23,Planes!$A$5:$A$7,0)),0))</f>
        <v/>
      </c>
      <c r="J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13">
        <f>IF(D24="","",IFERROR(INDEX(Planes!$B$5:$B$7,MATCH(D24,Planes!$A$5:$A$7,0)),0))</f>
        <v/>
      </c>
      <c r="J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13">
        <f>IF(D25="","",IFERROR(INDEX(Planes!$B$5:$B$7,MATCH(D25,Planes!$A$5:$A$7,0)),0))</f>
        <v/>
      </c>
      <c r="J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13">
        <f>IF(D26="","",IFERROR(INDEX(Planes!$B$5:$B$7,MATCH(D26,Planes!$A$5:$A$7,0)),0))</f>
        <v/>
      </c>
      <c r="J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13">
        <f>IF(D27="","",IFERROR(INDEX(Planes!$B$5:$B$7,MATCH(D27,Planes!$A$5:$A$7,0)),0))</f>
        <v/>
      </c>
      <c r="J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13">
        <f>IF(D28="","",IFERROR(INDEX(Planes!$B$5:$B$7,MATCH(D28,Planes!$A$5:$A$7,0)),0))</f>
        <v/>
      </c>
      <c r="J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13">
        <f>IF(D29="","",IFERROR(INDEX(Planes!$B$5:$B$7,MATCH(D29,Planes!$A$5:$A$7,0)),0))</f>
        <v/>
      </c>
      <c r="J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13">
        <f>IF(D30="","",IFERROR(INDEX(Planes!$B$5:$B$7,MATCH(D30,Planes!$A$5:$A$7,0)),0))</f>
        <v/>
      </c>
      <c r="J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13">
        <f>IF(D31="","",IFERROR(INDEX(Planes!$B$5:$B$7,MATCH(D31,Planes!$A$5:$A$7,0)),0))</f>
        <v/>
      </c>
      <c r="J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13">
        <f>IF(D32="","",IFERROR(INDEX(Planes!$B$5:$B$7,MATCH(D32,Planes!$A$5:$A$7,0)),0))</f>
        <v/>
      </c>
      <c r="J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13">
        <f>IF(D33="","",IFERROR(INDEX(Planes!$B$5:$B$7,MATCH(D33,Planes!$A$5:$A$7,0)),0))</f>
        <v/>
      </c>
      <c r="J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13">
        <f>IF(D34="","",IFERROR(INDEX(Planes!$B$5:$B$7,MATCH(D34,Planes!$A$5:$A$7,0)),0))</f>
        <v/>
      </c>
      <c r="J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13">
        <f>IF(D35="","",IFERROR(INDEX(Planes!$B$5:$B$7,MATCH(D35,Planes!$A$5:$A$7,0)),0))</f>
        <v/>
      </c>
      <c r="J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13">
        <f>IF(D36="","",IFERROR(INDEX(Planes!$B$5:$B$7,MATCH(D36,Planes!$A$5:$A$7,0)),0))</f>
        <v/>
      </c>
      <c r="J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13">
        <f>IF(D37="","",IFERROR(INDEX(Planes!$B$5:$B$7,MATCH(D37,Planes!$A$5:$A$7,0)),0))</f>
        <v/>
      </c>
      <c r="J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13">
        <f>IF(D38="","",IFERROR(INDEX(Planes!$B$5:$B$7,MATCH(D38,Planes!$A$5:$A$7,0)),0))</f>
        <v/>
      </c>
      <c r="J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13">
        <f>IF(D39="","",IFERROR(INDEX(Planes!$B$5:$B$7,MATCH(D39,Planes!$A$5:$A$7,0)),0))</f>
        <v/>
      </c>
      <c r="J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13">
        <f>IF(D40="","",IFERROR(INDEX(Planes!$B$5:$B$7,MATCH(D40,Planes!$A$5:$A$7,0)),0))</f>
        <v/>
      </c>
      <c r="J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13">
        <f>IF(D41="","",IFERROR(INDEX(Planes!$B$5:$B$7,MATCH(D41,Planes!$A$5:$A$7,0)),0))</f>
        <v/>
      </c>
      <c r="J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13">
        <f>IF(D42="","",IFERROR(INDEX(Planes!$B$5:$B$7,MATCH(D42,Planes!$A$5:$A$7,0)),0))</f>
        <v/>
      </c>
      <c r="J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13">
        <f>IF(D43="","",IFERROR(INDEX(Planes!$B$5:$B$7,MATCH(D43,Planes!$A$5:$A$7,0)),0))</f>
        <v/>
      </c>
      <c r="J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13">
        <f>IF(D44="","",IFERROR(INDEX(Planes!$B$5:$B$7,MATCH(D44,Planes!$A$5:$A$7,0)),0))</f>
        <v/>
      </c>
      <c r="J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13">
        <f>IF(D45="","",IFERROR(INDEX(Planes!$B$5:$B$7,MATCH(D45,Planes!$A$5:$A$7,0)),0))</f>
        <v/>
      </c>
      <c r="J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13">
        <f>IF(D46="","",IFERROR(INDEX(Planes!$B$5:$B$7,MATCH(D46,Planes!$A$5:$A$7,0)),0))</f>
        <v/>
      </c>
      <c r="J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13">
        <f>IF(D47="","",IFERROR(INDEX(Planes!$B$5:$B$7,MATCH(D47,Planes!$A$5:$A$7,0)),0))</f>
        <v/>
      </c>
      <c r="J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13">
        <f>IF(D48="","",IFERROR(INDEX(Planes!$B$5:$B$7,MATCH(D48,Planes!$A$5:$A$7,0)),0))</f>
        <v/>
      </c>
      <c r="J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13">
        <f>IF(D49="","",IFERROR(INDEX(Planes!$B$5:$B$7,MATCH(D49,Planes!$A$5:$A$7,0)),0))</f>
        <v/>
      </c>
      <c r="J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13">
        <f>IF(D50="","",IFERROR(INDEX(Planes!$B$5:$B$7,MATCH(D50,Planes!$A$5:$A$7,0)),0))</f>
        <v/>
      </c>
      <c r="J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13">
        <f>IF(D51="","",IFERROR(INDEX(Planes!$B$5:$B$7,MATCH(D51,Planes!$A$5:$A$7,0)),0))</f>
        <v/>
      </c>
      <c r="J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13">
        <f>IF(D52="","",IFERROR(INDEX(Planes!$B$5:$B$7,MATCH(D52,Planes!$A$5:$A$7,0)),0))</f>
        <v/>
      </c>
      <c r="J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13">
        <f>IF(D53="","",IFERROR(INDEX(Planes!$B$5:$B$7,MATCH(D53,Planes!$A$5:$A$7,0)),0))</f>
        <v/>
      </c>
      <c r="J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13">
        <f>IF(D54="","",IFERROR(INDEX(Planes!$B$5:$B$7,MATCH(D54,Planes!$A$5:$A$7,0)),0))</f>
        <v/>
      </c>
      <c r="J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13">
        <f>IF(D55="","",IFERROR(INDEX(Planes!$B$5:$B$7,MATCH(D55,Planes!$A$5:$A$7,0)),0))</f>
        <v/>
      </c>
      <c r="J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13">
        <f>IF(D56="","",IFERROR(INDEX(Planes!$B$5:$B$7,MATCH(D56,Planes!$A$5:$A$7,0)),0))</f>
        <v/>
      </c>
      <c r="J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13">
        <f>IF(D57="","",IFERROR(INDEX(Planes!$B$5:$B$7,MATCH(D57,Planes!$A$5:$A$7,0)),0))</f>
        <v/>
      </c>
      <c r="J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13">
        <f>IF(D58="","",IFERROR(INDEX(Planes!$B$5:$B$7,MATCH(D58,Planes!$A$5:$A$7,0)),0))</f>
        <v/>
      </c>
      <c r="J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13">
        <f>IF(D59="","",IFERROR(INDEX(Planes!$B$5:$B$7,MATCH(D59,Planes!$A$5:$A$7,0)),0))</f>
        <v/>
      </c>
      <c r="J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13">
        <f>IF(D60="","",IFERROR(INDEX(Planes!$B$5:$B$7,MATCH(D60,Planes!$A$5:$A$7,0)),0))</f>
        <v/>
      </c>
      <c r="J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13">
        <f>IF(D61="","",IFERROR(INDEX(Planes!$B$5:$B$7,MATCH(D61,Planes!$A$5:$A$7,0)),0))</f>
        <v/>
      </c>
      <c r="J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13">
        <f>IF(D62="","",IFERROR(INDEX(Planes!$B$5:$B$7,MATCH(D62,Planes!$A$5:$A$7,0)),0))</f>
        <v/>
      </c>
      <c r="J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13">
        <f>IF(D63="","",IFERROR(INDEX(Planes!$B$5:$B$7,MATCH(D63,Planes!$A$5:$A$7,0)),0))</f>
        <v/>
      </c>
      <c r="J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13">
        <f>IF(D64="","",IFERROR(INDEX(Planes!$B$5:$B$7,MATCH(D64,Planes!$A$5:$A$7,0)),0))</f>
        <v/>
      </c>
      <c r="J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13">
        <f>IF(D65="","",IFERROR(INDEX(Planes!$B$5:$B$7,MATCH(D65,Planes!$A$5:$A$7,0)),0))</f>
        <v/>
      </c>
      <c r="J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13">
        <f>IF(D66="","",IFERROR(INDEX(Planes!$B$5:$B$7,MATCH(D66,Planes!$A$5:$A$7,0)),0))</f>
        <v/>
      </c>
      <c r="J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13">
        <f>IF(D67="","",IFERROR(INDEX(Planes!$B$5:$B$7,MATCH(D67,Planes!$A$5:$A$7,0)),0))</f>
        <v/>
      </c>
      <c r="J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13">
        <f>IF(D68="","",IFERROR(INDEX(Planes!$B$5:$B$7,MATCH(D68,Planes!$A$5:$A$7,0)),0))</f>
        <v/>
      </c>
      <c r="J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13">
        <f>IF(D69="","",IFERROR(INDEX(Planes!$B$5:$B$7,MATCH(D69,Planes!$A$5:$A$7,0)),0))</f>
        <v/>
      </c>
      <c r="J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13">
        <f>IF(D70="","",IFERROR(INDEX(Planes!$B$5:$B$7,MATCH(D70,Planes!$A$5:$A$7,0)),0))</f>
        <v/>
      </c>
      <c r="J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13">
        <f>IF(D71="","",IFERROR(INDEX(Planes!$B$5:$B$7,MATCH(D71,Planes!$A$5:$A$7,0)),0))</f>
        <v/>
      </c>
      <c r="J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13">
        <f>IF(D72="","",IFERROR(INDEX(Planes!$B$5:$B$7,MATCH(D72,Planes!$A$5:$A$7,0)),0))</f>
        <v/>
      </c>
      <c r="J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13">
        <f>IF(D73="","",IFERROR(INDEX(Planes!$B$5:$B$7,MATCH(D73,Planes!$A$5:$A$7,0)),0))</f>
        <v/>
      </c>
      <c r="J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13">
        <f>IF(D74="","",IFERROR(INDEX(Planes!$B$5:$B$7,MATCH(D74,Planes!$A$5:$A$7,0)),0))</f>
        <v/>
      </c>
      <c r="J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13">
        <f>IF(D75="","",IFERROR(INDEX(Planes!$B$5:$B$7,MATCH(D75,Planes!$A$5:$A$7,0)),0))</f>
        <v/>
      </c>
      <c r="J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13">
        <f>IF(D76="","",IFERROR(INDEX(Planes!$B$5:$B$7,MATCH(D76,Planes!$A$5:$A$7,0)),0))</f>
        <v/>
      </c>
      <c r="J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13">
        <f>IF(D77="","",IFERROR(INDEX(Planes!$B$5:$B$7,MATCH(D77,Planes!$A$5:$A$7,0)),0))</f>
        <v/>
      </c>
      <c r="J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13">
        <f>IF(D78="","",IFERROR(INDEX(Planes!$B$5:$B$7,MATCH(D78,Planes!$A$5:$A$7,0)),0))</f>
        <v/>
      </c>
      <c r="J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13">
        <f>IF(D79="","",IFERROR(INDEX(Planes!$B$5:$B$7,MATCH(D79,Planes!$A$5:$A$7,0)),0))</f>
        <v/>
      </c>
      <c r="J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13">
        <f>IF(D80="","",IFERROR(INDEX(Planes!$B$5:$B$7,MATCH(D80,Planes!$A$5:$A$7,0)),0))</f>
        <v/>
      </c>
      <c r="J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13">
        <f>IF(D81="","",IFERROR(INDEX(Planes!$B$5:$B$7,MATCH(D81,Planes!$A$5:$A$7,0)),0))</f>
        <v/>
      </c>
      <c r="J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13">
        <f>IF(D82="","",IFERROR(INDEX(Planes!$B$5:$B$7,MATCH(D82,Planes!$A$5:$A$7,0)),0))</f>
        <v/>
      </c>
      <c r="J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13">
        <f>IF(D83="","",IFERROR(INDEX(Planes!$B$5:$B$7,MATCH(D83,Planes!$A$5:$A$7,0)),0))</f>
        <v/>
      </c>
      <c r="J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13">
        <f>IF(D84="","",IFERROR(INDEX(Planes!$B$5:$B$7,MATCH(D84,Planes!$A$5:$A$7,0)),0))</f>
        <v/>
      </c>
      <c r="J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13">
        <f>IF(D85="","",IFERROR(INDEX(Planes!$B$5:$B$7,MATCH(D85,Planes!$A$5:$A$7,0)),0))</f>
        <v/>
      </c>
      <c r="J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13">
        <f>IF(D86="","",IFERROR(INDEX(Planes!$B$5:$B$7,MATCH(D86,Planes!$A$5:$A$7,0)),0))</f>
        <v/>
      </c>
      <c r="J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13">
        <f>IF(D87="","",IFERROR(INDEX(Planes!$B$5:$B$7,MATCH(D87,Planes!$A$5:$A$7,0)),0))</f>
        <v/>
      </c>
      <c r="J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13">
        <f>IF(D88="","",IFERROR(INDEX(Planes!$B$5:$B$7,MATCH(D88,Planes!$A$5:$A$7,0)),0))</f>
        <v/>
      </c>
      <c r="J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13">
        <f>IF(D89="","",IFERROR(INDEX(Planes!$B$5:$B$7,MATCH(D89,Planes!$A$5:$A$7,0)),0))</f>
        <v/>
      </c>
      <c r="J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13">
        <f>IF(D90="","",IFERROR(INDEX(Planes!$B$5:$B$7,MATCH(D90,Planes!$A$5:$A$7,0)),0))</f>
        <v/>
      </c>
      <c r="J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13">
        <f>IF(D91="","",IFERROR(INDEX(Planes!$B$5:$B$7,MATCH(D91,Planes!$A$5:$A$7,0)),0))</f>
        <v/>
      </c>
      <c r="J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13">
        <f>IF(D92="","",IFERROR(INDEX(Planes!$B$5:$B$7,MATCH(D92,Planes!$A$5:$A$7,0)),0))</f>
        <v/>
      </c>
      <c r="J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13">
        <f>IF(D93="","",IFERROR(INDEX(Planes!$B$5:$B$7,MATCH(D93,Planes!$A$5:$A$7,0)),0))</f>
        <v/>
      </c>
      <c r="J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13">
        <f>IF(D94="","",IFERROR(INDEX(Planes!$B$5:$B$7,MATCH(D94,Planes!$A$5:$A$7,0)),0))</f>
        <v/>
      </c>
      <c r="J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13">
        <f>IF(D95="","",IFERROR(INDEX(Planes!$B$5:$B$7,MATCH(D95,Planes!$A$5:$A$7,0)),0))</f>
        <v/>
      </c>
      <c r="J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13">
        <f>IF(D96="","",IFERROR(INDEX(Planes!$B$5:$B$7,MATCH(D96,Planes!$A$5:$A$7,0)),0))</f>
        <v/>
      </c>
      <c r="J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13">
        <f>IF(D97="","",IFERROR(INDEX(Planes!$B$5:$B$7,MATCH(D97,Planes!$A$5:$A$7,0)),0))</f>
        <v/>
      </c>
      <c r="J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13">
        <f>IF(D98="","",IFERROR(INDEX(Planes!$B$5:$B$7,MATCH(D98,Planes!$A$5:$A$7,0)),0))</f>
        <v/>
      </c>
      <c r="J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13">
        <f>IF(D99="","",IFERROR(INDEX(Planes!$B$5:$B$7,MATCH(D99,Planes!$A$5:$A$7,0)),0))</f>
        <v/>
      </c>
      <c r="J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13">
        <f>IF(D100="","",IFERROR(INDEX(Planes!$B$5:$B$7,MATCH(D100,Planes!$A$5:$A$7,0)),0))</f>
        <v/>
      </c>
      <c r="J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13">
        <f>IF(D101="","",IFERROR(INDEX(Planes!$B$5:$B$7,MATCH(D101,Planes!$A$5:$A$7,0)),0))</f>
        <v/>
      </c>
      <c r="J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13">
        <f>IF(D102="","",IFERROR(INDEX(Planes!$B$5:$B$7,MATCH(D102,Planes!$A$5:$A$7,0)),0))</f>
        <v/>
      </c>
      <c r="J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13">
        <f>IF(D103="","",IFERROR(INDEX(Planes!$B$5:$B$7,MATCH(D103,Planes!$A$5:$A$7,0)),0))</f>
        <v/>
      </c>
      <c r="J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13">
        <f>IF(D104="","",IFERROR(INDEX(Planes!$B$5:$B$7,MATCH(D104,Planes!$A$5:$A$7,0)),0))</f>
        <v/>
      </c>
      <c r="J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13">
        <f>IF(D105="","",IFERROR(INDEX(Planes!$B$5:$B$7,MATCH(D105,Planes!$A$5:$A$7,0)),0))</f>
        <v/>
      </c>
      <c r="J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13">
        <f>IF(D106="","",IFERROR(INDEX(Planes!$B$5:$B$7,MATCH(D106,Planes!$A$5:$A$7,0)),0))</f>
        <v/>
      </c>
      <c r="J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13">
        <f>IF(D107="","",IFERROR(INDEX(Planes!$B$5:$B$7,MATCH(D107,Planes!$A$5:$A$7,0)),0))</f>
        <v/>
      </c>
      <c r="J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13">
        <f>IF(D108="","",IFERROR(INDEX(Planes!$B$5:$B$7,MATCH(D108,Planes!$A$5:$A$7,0)),0))</f>
        <v/>
      </c>
      <c r="J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13">
        <f>IF(D109="","",IFERROR(INDEX(Planes!$B$5:$B$7,MATCH(D109,Planes!$A$5:$A$7,0)),0))</f>
        <v/>
      </c>
      <c r="J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13">
        <f>IF(D110="","",IFERROR(INDEX(Planes!$B$5:$B$7,MATCH(D110,Planes!$A$5:$A$7,0)),0))</f>
        <v/>
      </c>
      <c r="J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13">
        <f>IF(D111="","",IFERROR(INDEX(Planes!$B$5:$B$7,MATCH(D111,Planes!$A$5:$A$7,0)),0))</f>
        <v/>
      </c>
      <c r="J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13">
        <f>IF(D112="","",IFERROR(INDEX(Planes!$B$5:$B$7,MATCH(D112,Planes!$A$5:$A$7,0)),0))</f>
        <v/>
      </c>
      <c r="J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13">
        <f>IF(D113="","",IFERROR(INDEX(Planes!$B$5:$B$7,MATCH(D113,Planes!$A$5:$A$7,0)),0))</f>
        <v/>
      </c>
      <c r="J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13">
        <f>IF(D114="","",IFERROR(INDEX(Planes!$B$5:$B$7,MATCH(D114,Planes!$A$5:$A$7,0)),0))</f>
        <v/>
      </c>
      <c r="J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13">
        <f>IF(D115="","",IFERROR(INDEX(Planes!$B$5:$B$7,MATCH(D115,Planes!$A$5:$A$7,0)),0))</f>
        <v/>
      </c>
      <c r="J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13">
        <f>IF(D116="","",IFERROR(INDEX(Planes!$B$5:$B$7,MATCH(D116,Planes!$A$5:$A$7,0)),0))</f>
        <v/>
      </c>
      <c r="J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13">
        <f>IF(D117="","",IFERROR(INDEX(Planes!$B$5:$B$7,MATCH(D117,Planes!$A$5:$A$7,0)),0))</f>
        <v/>
      </c>
      <c r="J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13">
        <f>IF(D118="","",IFERROR(INDEX(Planes!$B$5:$B$7,MATCH(D118,Planes!$A$5:$A$7,0)),0))</f>
        <v/>
      </c>
      <c r="J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13">
        <f>IF(D119="","",IFERROR(INDEX(Planes!$B$5:$B$7,MATCH(D119,Planes!$A$5:$A$7,0)),0))</f>
        <v/>
      </c>
      <c r="J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13">
        <f>IF(D120="","",IFERROR(INDEX(Planes!$B$5:$B$7,MATCH(D120,Planes!$A$5:$A$7,0)),0))</f>
        <v/>
      </c>
      <c r="J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13">
        <f>IF(D121="","",IFERROR(INDEX(Planes!$B$5:$B$7,MATCH(D121,Planes!$A$5:$A$7,0)),0))</f>
        <v/>
      </c>
      <c r="J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13">
        <f>IF(D122="","",IFERROR(INDEX(Planes!$B$5:$B$7,MATCH(D122,Planes!$A$5:$A$7,0)),0))</f>
        <v/>
      </c>
      <c r="J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13">
        <f>IF(D123="","",IFERROR(INDEX(Planes!$B$5:$B$7,MATCH(D123,Planes!$A$5:$A$7,0)),0))</f>
        <v/>
      </c>
      <c r="J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13">
        <f>IF(D124="","",IFERROR(INDEX(Planes!$B$5:$B$7,MATCH(D124,Planes!$A$5:$A$7,0)),0))</f>
        <v/>
      </c>
      <c r="J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13">
        <f>IF(D125="","",IFERROR(INDEX(Planes!$B$5:$B$7,MATCH(D125,Planes!$A$5:$A$7,0)),0))</f>
        <v/>
      </c>
      <c r="J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13">
        <f>IF(D126="","",IFERROR(INDEX(Planes!$B$5:$B$7,MATCH(D126,Planes!$A$5:$A$7,0)),0))</f>
        <v/>
      </c>
      <c r="J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13">
        <f>IF(D127="","",IFERROR(INDEX(Planes!$B$5:$B$7,MATCH(D127,Planes!$A$5:$A$7,0)),0))</f>
        <v/>
      </c>
      <c r="J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13">
        <f>IF(D128="","",IFERROR(INDEX(Planes!$B$5:$B$7,MATCH(D128,Planes!$A$5:$A$7,0)),0))</f>
        <v/>
      </c>
      <c r="J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13">
        <f>IF(D129="","",IFERROR(INDEX(Planes!$B$5:$B$7,MATCH(D129,Planes!$A$5:$A$7,0)),0))</f>
        <v/>
      </c>
      <c r="J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13">
        <f>IF(D130="","",IFERROR(INDEX(Planes!$B$5:$B$7,MATCH(D130,Planes!$A$5:$A$7,0)),0))</f>
        <v/>
      </c>
      <c r="J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13">
        <f>IF(D131="","",IFERROR(INDEX(Planes!$B$5:$B$7,MATCH(D131,Planes!$A$5:$A$7,0)),0))</f>
        <v/>
      </c>
      <c r="J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13">
        <f>IF(D132="","",IFERROR(INDEX(Planes!$B$5:$B$7,MATCH(D132,Planes!$A$5:$A$7,0)),0))</f>
        <v/>
      </c>
      <c r="J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13">
        <f>IF(D133="","",IFERROR(INDEX(Planes!$B$5:$B$7,MATCH(D133,Planes!$A$5:$A$7,0)),0))</f>
        <v/>
      </c>
      <c r="J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13">
        <f>IF(D134="","",IFERROR(INDEX(Planes!$B$5:$B$7,MATCH(D134,Planes!$A$5:$A$7,0)),0))</f>
        <v/>
      </c>
      <c r="J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13">
        <f>IF(D135="","",IFERROR(INDEX(Planes!$B$5:$B$7,MATCH(D135,Planes!$A$5:$A$7,0)),0))</f>
        <v/>
      </c>
      <c r="J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13">
        <f>IF(D136="","",IFERROR(INDEX(Planes!$B$5:$B$7,MATCH(D136,Planes!$A$5:$A$7,0)),0))</f>
        <v/>
      </c>
      <c r="J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13">
        <f>IF(D137="","",IFERROR(INDEX(Planes!$B$5:$B$7,MATCH(D137,Planes!$A$5:$A$7,0)),0))</f>
        <v/>
      </c>
      <c r="J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13">
        <f>IF(D138="","",IFERROR(INDEX(Planes!$B$5:$B$7,MATCH(D138,Planes!$A$5:$A$7,0)),0))</f>
        <v/>
      </c>
      <c r="J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13">
        <f>IF(D139="","",IFERROR(INDEX(Planes!$B$5:$B$7,MATCH(D139,Planes!$A$5:$A$7,0)),0))</f>
        <v/>
      </c>
      <c r="J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13">
        <f>IF(D140="","",IFERROR(INDEX(Planes!$B$5:$B$7,MATCH(D140,Planes!$A$5:$A$7,0)),0))</f>
        <v/>
      </c>
      <c r="J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13">
        <f>IF(D141="","",IFERROR(INDEX(Planes!$B$5:$B$7,MATCH(D141,Planes!$A$5:$A$7,0)),0))</f>
        <v/>
      </c>
      <c r="J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13">
        <f>IF(D142="","",IFERROR(INDEX(Planes!$B$5:$B$7,MATCH(D142,Planes!$A$5:$A$7,0)),0))</f>
        <v/>
      </c>
      <c r="J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13">
        <f>IF(D143="","",IFERROR(INDEX(Planes!$B$5:$B$7,MATCH(D143,Planes!$A$5:$A$7,0)),0))</f>
        <v/>
      </c>
      <c r="J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13">
        <f>IF(D144="","",IFERROR(INDEX(Planes!$B$5:$B$7,MATCH(D144,Planes!$A$5:$A$7,0)),0))</f>
        <v/>
      </c>
      <c r="J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13">
        <f>IF(D145="","",IFERROR(INDEX(Planes!$B$5:$B$7,MATCH(D145,Planes!$A$5:$A$7,0)),0))</f>
        <v/>
      </c>
      <c r="J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13">
        <f>IF(D146="","",IFERROR(INDEX(Planes!$B$5:$B$7,MATCH(D146,Planes!$A$5:$A$7,0)),0))</f>
        <v/>
      </c>
      <c r="J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13">
        <f>IF(D147="","",IFERROR(INDEX(Planes!$B$5:$B$7,MATCH(D147,Planes!$A$5:$A$7,0)),0))</f>
        <v/>
      </c>
      <c r="J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13">
        <f>IF(D148="","",IFERROR(INDEX(Planes!$B$5:$B$7,MATCH(D148,Planes!$A$5:$A$7,0)),0))</f>
        <v/>
      </c>
      <c r="J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13">
        <f>IF(D149="","",IFERROR(INDEX(Planes!$B$5:$B$7,MATCH(D149,Planes!$A$5:$A$7,0)),0))</f>
        <v/>
      </c>
      <c r="J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13">
        <f>IF(D150="","",IFERROR(INDEX(Planes!$B$5:$B$7,MATCH(D150,Planes!$A$5:$A$7,0)),0))</f>
        <v/>
      </c>
      <c r="J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13">
        <f>IF(D151="","",IFERROR(INDEX(Planes!$B$5:$B$7,MATCH(D151,Planes!$A$5:$A$7,0)),0))</f>
        <v/>
      </c>
      <c r="J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13">
        <f>IF(D152="","",IFERROR(INDEX(Planes!$B$5:$B$7,MATCH(D152,Planes!$A$5:$A$7,0)),0))</f>
        <v/>
      </c>
      <c r="J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13">
        <f>IF(D153="","",IFERROR(INDEX(Planes!$B$5:$B$7,MATCH(D153,Planes!$A$5:$A$7,0)),0))</f>
        <v/>
      </c>
      <c r="J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13">
        <f>IF(D154="","",IFERROR(INDEX(Planes!$B$5:$B$7,MATCH(D154,Planes!$A$5:$A$7,0)),0))</f>
        <v/>
      </c>
      <c r="J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13">
        <f>IF(D155="","",IFERROR(INDEX(Planes!$B$5:$B$7,MATCH(D155,Planes!$A$5:$A$7,0)),0))</f>
        <v/>
      </c>
      <c r="J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13">
        <f>IF(D156="","",IFERROR(INDEX(Planes!$B$5:$B$7,MATCH(D156,Planes!$A$5:$A$7,0)),0))</f>
        <v/>
      </c>
      <c r="J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13">
        <f>IF(D157="","",IFERROR(INDEX(Planes!$B$5:$B$7,MATCH(D157,Planes!$A$5:$A$7,0)),0))</f>
        <v/>
      </c>
      <c r="J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13">
        <f>IF(D158="","",IFERROR(INDEX(Planes!$B$5:$B$7,MATCH(D158,Planes!$A$5:$A$7,0)),0))</f>
        <v/>
      </c>
      <c r="J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13">
        <f>IF(D159="","",IFERROR(INDEX(Planes!$B$5:$B$7,MATCH(D159,Planes!$A$5:$A$7,0)),0))</f>
        <v/>
      </c>
      <c r="J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13">
        <f>IF(D160="","",IFERROR(INDEX(Planes!$B$5:$B$7,MATCH(D160,Planes!$A$5:$A$7,0)),0))</f>
        <v/>
      </c>
      <c r="J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13">
        <f>IF(D161="","",IFERROR(INDEX(Planes!$B$5:$B$7,MATCH(D161,Planes!$A$5:$A$7,0)),0))</f>
        <v/>
      </c>
      <c r="J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13">
        <f>IF(D162="","",IFERROR(INDEX(Planes!$B$5:$B$7,MATCH(D162,Planes!$A$5:$A$7,0)),0))</f>
        <v/>
      </c>
      <c r="J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13">
        <f>IF(D163="","",IFERROR(INDEX(Planes!$B$5:$B$7,MATCH(D163,Planes!$A$5:$A$7,0)),0))</f>
        <v/>
      </c>
      <c r="J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13">
        <f>IF(D164="","",IFERROR(INDEX(Planes!$B$5:$B$7,MATCH(D164,Planes!$A$5:$A$7,0)),0))</f>
        <v/>
      </c>
      <c r="J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13">
        <f>IF(D165="","",IFERROR(INDEX(Planes!$B$5:$B$7,MATCH(D165,Planes!$A$5:$A$7,0)),0))</f>
        <v/>
      </c>
      <c r="J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13">
        <f>IF(D166="","",IFERROR(INDEX(Planes!$B$5:$B$7,MATCH(D166,Planes!$A$5:$A$7,0)),0))</f>
        <v/>
      </c>
      <c r="J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13">
        <f>IF(D167="","",IFERROR(INDEX(Planes!$B$5:$B$7,MATCH(D167,Planes!$A$5:$A$7,0)),0))</f>
        <v/>
      </c>
      <c r="J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13">
        <f>IF(D168="","",IFERROR(INDEX(Planes!$B$5:$B$7,MATCH(D168,Planes!$A$5:$A$7,0)),0))</f>
        <v/>
      </c>
      <c r="J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13">
        <f>IF(D169="","",IFERROR(INDEX(Planes!$B$5:$B$7,MATCH(D169,Planes!$A$5:$A$7,0)),0))</f>
        <v/>
      </c>
      <c r="J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13">
        <f>IF(D170="","",IFERROR(INDEX(Planes!$B$5:$B$7,MATCH(D170,Planes!$A$5:$A$7,0)),0))</f>
        <v/>
      </c>
      <c r="J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13">
        <f>IF(D171="","",IFERROR(INDEX(Planes!$B$5:$B$7,MATCH(D171,Planes!$A$5:$A$7,0)),0))</f>
        <v/>
      </c>
      <c r="J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13">
        <f>IF(D172="","",IFERROR(INDEX(Planes!$B$5:$B$7,MATCH(D172,Planes!$A$5:$A$7,0)),0))</f>
        <v/>
      </c>
      <c r="J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13">
        <f>IF(D173="","",IFERROR(INDEX(Planes!$B$5:$B$7,MATCH(D173,Planes!$A$5:$A$7,0)),0))</f>
        <v/>
      </c>
      <c r="J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13">
        <f>IF(D174="","",IFERROR(INDEX(Planes!$B$5:$B$7,MATCH(D174,Planes!$A$5:$A$7,0)),0))</f>
        <v/>
      </c>
      <c r="J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13">
        <f>IF(D175="","",IFERROR(INDEX(Planes!$B$5:$B$7,MATCH(D175,Planes!$A$5:$A$7,0)),0))</f>
        <v/>
      </c>
      <c r="J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13">
        <f>IF(D176="","",IFERROR(INDEX(Planes!$B$5:$B$7,MATCH(D176,Planes!$A$5:$A$7,0)),0))</f>
        <v/>
      </c>
      <c r="J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13">
        <f>IF(D177="","",IFERROR(INDEX(Planes!$B$5:$B$7,MATCH(D177,Planes!$A$5:$A$7,0)),0))</f>
        <v/>
      </c>
      <c r="J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13">
        <f>IF(D178="","",IFERROR(INDEX(Planes!$B$5:$B$7,MATCH(D178,Planes!$A$5:$A$7,0)),0))</f>
        <v/>
      </c>
      <c r="J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13">
        <f>IF(D179="","",IFERROR(INDEX(Planes!$B$5:$B$7,MATCH(D179,Planes!$A$5:$A$7,0)),0))</f>
        <v/>
      </c>
      <c r="J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13">
        <f>IF(D180="","",IFERROR(INDEX(Planes!$B$5:$B$7,MATCH(D180,Planes!$A$5:$A$7,0)),0))</f>
        <v/>
      </c>
      <c r="J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13">
        <f>IF(D181="","",IFERROR(INDEX(Planes!$B$5:$B$7,MATCH(D181,Planes!$A$5:$A$7,0)),0))</f>
        <v/>
      </c>
      <c r="J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13">
        <f>IF(D182="","",IFERROR(INDEX(Planes!$B$5:$B$7,MATCH(D182,Planes!$A$5:$A$7,0)),0))</f>
        <v/>
      </c>
      <c r="J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13">
        <f>IF(D183="","",IFERROR(INDEX(Planes!$B$5:$B$7,MATCH(D183,Planes!$A$5:$A$7,0)),0))</f>
        <v/>
      </c>
      <c r="J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13">
        <f>IF(D184="","",IFERROR(INDEX(Planes!$B$5:$B$7,MATCH(D184,Planes!$A$5:$A$7,0)),0))</f>
        <v/>
      </c>
      <c r="J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13">
        <f>IF(D185="","",IFERROR(INDEX(Planes!$B$5:$B$7,MATCH(D185,Planes!$A$5:$A$7,0)),0))</f>
        <v/>
      </c>
      <c r="J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13">
        <f>IF(D186="","",IFERROR(INDEX(Planes!$B$5:$B$7,MATCH(D186,Planes!$A$5:$A$7,0)),0))</f>
        <v/>
      </c>
      <c r="J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13">
        <f>IF(D187="","",IFERROR(INDEX(Planes!$B$5:$B$7,MATCH(D187,Planes!$A$5:$A$7,0)),0))</f>
        <v/>
      </c>
      <c r="J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13">
        <f>IF(D188="","",IFERROR(INDEX(Planes!$B$5:$B$7,MATCH(D188,Planes!$A$5:$A$7,0)),0))</f>
        <v/>
      </c>
      <c r="J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13">
        <f>IF(D189="","",IFERROR(INDEX(Planes!$B$5:$B$7,MATCH(D189,Planes!$A$5:$A$7,0)),0))</f>
        <v/>
      </c>
      <c r="J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13">
        <f>IF(D190="","",IFERROR(INDEX(Planes!$B$5:$B$7,MATCH(D190,Planes!$A$5:$A$7,0)),0))</f>
        <v/>
      </c>
      <c r="J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13">
        <f>IF(D191="","",IFERROR(INDEX(Planes!$B$5:$B$7,MATCH(D191,Planes!$A$5:$A$7,0)),0))</f>
        <v/>
      </c>
      <c r="J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13">
        <f>IF(D192="","",IFERROR(INDEX(Planes!$B$5:$B$7,MATCH(D192,Planes!$A$5:$A$7,0)),0))</f>
        <v/>
      </c>
      <c r="J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13">
        <f>IF(D193="","",IFERROR(INDEX(Planes!$B$5:$B$7,MATCH(D193,Planes!$A$5:$A$7,0)),0))</f>
        <v/>
      </c>
      <c r="J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13">
        <f>IF(D194="","",IFERROR(INDEX(Planes!$B$5:$B$7,MATCH(D194,Planes!$A$5:$A$7,0)),0))</f>
        <v/>
      </c>
      <c r="J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13">
        <f>IF(D195="","",IFERROR(INDEX(Planes!$B$5:$B$7,MATCH(D195,Planes!$A$5:$A$7,0)),0))</f>
        <v/>
      </c>
      <c r="J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13">
        <f>IF(D196="","",IFERROR(INDEX(Planes!$B$5:$B$7,MATCH(D196,Planes!$A$5:$A$7,0)),0))</f>
        <v/>
      </c>
      <c r="J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13">
        <f>IF(D197="","",IFERROR(INDEX(Planes!$B$5:$B$7,MATCH(D197,Planes!$A$5:$A$7,0)),0))</f>
        <v/>
      </c>
      <c r="J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13">
        <f>IF(D198="","",IFERROR(INDEX(Planes!$B$5:$B$7,MATCH(D198,Planes!$A$5:$A$7,0)),0))</f>
        <v/>
      </c>
      <c r="J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13">
        <f>IF(D199="","",IFERROR(INDEX(Planes!$B$5:$B$7,MATCH(D199,Planes!$A$5:$A$7,0)),0))</f>
        <v/>
      </c>
      <c r="J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13">
        <f>IF(D200="","",IFERROR(INDEX(Planes!$B$5:$B$7,MATCH(D200,Planes!$A$5:$A$7,0)),0))</f>
        <v/>
      </c>
      <c r="J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13">
        <f>IF(D201="","",IFERROR(INDEX(Planes!$B$5:$B$7,MATCH(D201,Planes!$A$5:$A$7,0)),0))</f>
        <v/>
      </c>
      <c r="J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13">
        <f>IF(D202="","",IFERROR(INDEX(Planes!$B$5:$B$7,MATCH(D202,Planes!$A$5:$A$7,0)),0))</f>
        <v/>
      </c>
      <c r="J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13">
        <f>IF(D203="","",IFERROR(INDEX(Planes!$B$5:$B$7,MATCH(D203,Planes!$A$5:$A$7,0)),0))</f>
        <v/>
      </c>
      <c r="J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13">
        <f>IF(D204="","",IFERROR(INDEX(Planes!$B$5:$B$7,MATCH(D204,Planes!$A$5:$A$7,0)),0))</f>
        <v/>
      </c>
      <c r="J204" s="21" t="n"/>
    </row>
  </sheetData>
  <conditionalFormatting sqref="A5:J204">
    <cfRule type="expression" priority="1" dxfId="0">
      <formula>AND($G5="Activo",$H5="No")</formula>
    </cfRule>
  </conditionalFormatting>
  <dataValidations count="4">
    <dataValidation sqref="D5:D204" showDropDown="0" showInputMessage="0" showErrorMessage="0" allowBlank="1" type="list">
      <formula1>=Planes!$A$5:$A$7</formula1>
    </dataValidation>
    <dataValidation sqref="G5:G204" showDropDown="0" showInputMessage="0" showErrorMessage="0" allowBlank="1" type="list">
      <formula1>"Activo,Pausado,Baja"</formula1>
    </dataValidation>
    <dataValidation sqref="H5:H204" showDropDown="0" showInputMessage="0" showErrorMessage="0" allowBlank="1" type="list">
      <formula1>"Sí,No"</formula1>
    </dataValidation>
    <dataValidation sqref="F5:F204" showDropDown="0" showInputMessage="0" showErrorMessage="0" allowBlank="1" type="whole" operator="between">
      <formula1>1</formula1>
      <formula2>31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2026-10-06T03:21:20Z</dcterms:created>
  <dcterms:modified xsi:type="dcterms:W3CDTF">2026-10-06T03:21:20Z</dcterms:modified>
</cp:coreProperties>
</file>