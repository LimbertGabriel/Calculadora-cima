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Escenarios" sheetId="2" state="visible" r:id="rId2"/>
    <sheet name="Proyec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Bs&quot; #,##0;(&quot;Bs&quot; #,##0);-"/>
    <numFmt numFmtId="165" formatCode="0.0%;(0.0%);-"/>
    <numFmt numFmtId="166" formatCode="#,##0;(#,##0);-"/>
    <numFmt numFmtId="167" formatCode="0.0"/>
    <numFmt numFmtId="168" formatCode="&quot;Bs&quot; #,##0.00;(&quot;Bs&quot; #,##0.00);-"/>
  </numFmts>
  <fonts count="10">
    <font>
      <name val="Calibri"/>
      <family val="2"/>
      <color theme="1"/>
      <sz val="11"/>
      <scheme val="minor"/>
    </font>
    <font>
      <name val="Arial"/>
      <b val="1"/>
      <color rgb="001D6B3D"/>
      <sz val="14"/>
    </font>
    <font>
      <name val="Arial"/>
      <i val="1"/>
    </font>
    <font>
      <name val="Arial"/>
      <color rgb="000000FF"/>
    </font>
    <font>
      <name val="Arial"/>
      <i val="1"/>
      <color rgb="00808080"/>
    </font>
    <font>
      <name val="Arial"/>
      <b val="1"/>
      <color rgb="00FFFFFF"/>
    </font>
    <font>
      <name val="Arial"/>
    </font>
    <font>
      <name val="Arial"/>
      <color rgb="005A7163"/>
      <sz val="9"/>
    </font>
    <font>
      <name val="Arial"/>
      <b val="1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D6B3D"/>
      </patternFill>
    </fill>
    <fill>
      <patternFill patternType="solid">
        <fgColor rgb="00E6F3EA"/>
      </patternFill>
    </fill>
  </fills>
  <borders count="2">
    <border>
      <left/>
      <right/>
      <top/>
      <bottom/>
      <diagonal/>
    </border>
    <border>
      <bottom style="thin">
        <color rgb="00C8D6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0" borderId="1" pivotButton="0" quotePrefix="0" xfId="0"/>
    <xf numFmtId="164" fontId="3" fillId="2" borderId="1" pivotButton="0" quotePrefix="0" xfId="0"/>
    <xf numFmtId="0" fontId="0" fillId="0" borderId="1" pivotButton="0" quotePrefix="0" xfId="0"/>
    <xf numFmtId="0" fontId="7" fillId="0" borderId="1" pivotButton="0" quotePrefix="0" xfId="0"/>
    <xf numFmtId="165" fontId="3" fillId="2" borderId="1" pivotButton="0" quotePrefix="0" xfId="0"/>
    <xf numFmtId="166" fontId="3" fillId="2" borderId="1" pivotButton="0" quotePrefix="0" xfId="0"/>
    <xf numFmtId="164" fontId="6" fillId="0" borderId="1" pivotButton="0" quotePrefix="0" xfId="0"/>
    <xf numFmtId="0" fontId="8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6" fontId="6" fillId="0" borderId="1" pivotButton="0" quotePrefix="0" xfId="0"/>
    <xf numFmtId="0" fontId="5" fillId="3" borderId="0" applyAlignment="1" pivotButton="0" quotePrefix="0" xfId="0">
      <alignment horizontal="center"/>
    </xf>
    <xf numFmtId="0" fontId="8" fillId="4" borderId="1" pivotButton="0" quotePrefix="0" xfId="0"/>
    <xf numFmtId="164" fontId="8" fillId="4" borderId="1" pivotButton="0" quotePrefix="0" xfId="0"/>
    <xf numFmtId="0" fontId="8" fillId="0" borderId="0" pivotButton="0" quotePrefix="0" xfId="0"/>
    <xf numFmtId="166" fontId="9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9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8" fillId="4" borderId="0" pivotButton="0" quotePrefix="0" xfId="0"/>
    <xf numFmtId="166" fontId="8" fillId="4" borderId="0" pivotButton="0" quotePrefix="0" xfId="0"/>
    <xf numFmtId="164" fontId="8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EcoAlaya · Supuestos del modelo de negocio (La Paz)</t>
        </is>
      </c>
    </row>
    <row r="2">
      <c r="A2" s="2" t="inlineStr">
        <is>
          <t>Cómo usar: cambia solo las celdas con texto AZUL y fondo AMARILLO. Todo lo demás se calcula solo.</t>
        </is>
      </c>
    </row>
    <row r="3">
      <c r="A3" t="inlineStr">
        <is>
          <t>Ejemplo</t>
        </is>
      </c>
      <c r="B3" s="3" t="n">
        <v>650</v>
      </c>
      <c r="C3" s="4" t="inlineStr">
        <is>
          <t>← celda editable</t>
        </is>
      </c>
    </row>
    <row r="5">
      <c r="A5" s="5" t="inlineStr">
        <is>
          <t>Sistemas</t>
        </is>
      </c>
      <c r="B5" s="6" t="n"/>
      <c r="C5" s="6" t="n"/>
      <c r="D5" s="6" t="n"/>
    </row>
    <row r="6">
      <c r="A6" s="7" t="inlineStr">
        <is>
          <t>Precio torre hidropónica</t>
        </is>
      </c>
      <c r="B6" s="8" t="n">
        <v>650</v>
      </c>
      <c r="C6" s="9" t="n"/>
      <c r="D6" s="10" t="inlineStr">
        <is>
          <t>Dato de EcoAlaya (usuario).</t>
        </is>
      </c>
    </row>
    <row r="7">
      <c r="A7" s="7" t="inlineStr">
        <is>
          <t>Costo de fabricar la torre</t>
        </is>
      </c>
      <c r="B7" s="8" t="n">
        <v>250</v>
      </c>
      <c r="C7" s="9" t="n"/>
      <c r="D7" s="10" t="inlineStr">
        <is>
          <t>Dato de EcoAlaya (usuario).</t>
        </is>
      </c>
    </row>
    <row r="8">
      <c r="A8" s="7" t="inlineStr">
        <is>
          <t>Precio sistema familiar NFT</t>
        </is>
      </c>
      <c r="B8" s="8" t="n">
        <v>850</v>
      </c>
      <c r="C8" s="9" t="n"/>
      <c r="D8" s="10" t="inlineStr">
        <is>
          <t>Dato de EcoAlaya (usuario).</t>
        </is>
      </c>
    </row>
    <row r="9">
      <c r="A9" s="7" t="inlineStr">
        <is>
          <t>Costo de fabricar el NFT</t>
        </is>
      </c>
      <c r="B9" s="8" t="n">
        <v>270</v>
      </c>
      <c r="C9" s="9" t="n"/>
      <c r="D9" s="10" t="inlineStr">
        <is>
          <t>Dato de EcoAlaya (usuario).</t>
        </is>
      </c>
    </row>
    <row r="10">
      <c r="A10" s="7" t="inlineStr">
        <is>
          <t>% de ventas que son torres</t>
        </is>
      </c>
      <c r="B10" s="11" t="n">
        <v>0.5</v>
      </c>
      <c r="C10" s="9" t="n"/>
      <c r="D10" s="10" t="inlineStr">
        <is>
          <t>Supuesto: mitad torres y mitad NFT. El resto son NFT.</t>
        </is>
      </c>
    </row>
    <row r="11">
      <c r="A11" s="5" t="inlineStr">
        <is>
          <t>Nutrientes</t>
        </is>
      </c>
      <c r="B11" s="6" t="n"/>
      <c r="C11" s="6" t="n"/>
      <c r="D11" s="6" t="n"/>
    </row>
    <row r="12">
      <c r="A12" s="7" t="inlineStr">
        <is>
          <t>Precio juego A+B+C de 200 L</t>
        </is>
      </c>
      <c r="B12" s="8" t="n">
        <v>40</v>
      </c>
      <c r="C12" s="9" t="n"/>
      <c r="D12" s="10" t="inlineStr">
        <is>
          <t>Dato de EcoAlaya (usuario). También hay 500 L a Bs 60 y 1000 L a Bs 110.</t>
        </is>
      </c>
    </row>
    <row r="13">
      <c r="A13" s="7" t="inlineStr">
        <is>
          <t>Litros de solución que rinde ese juego</t>
        </is>
      </c>
      <c r="B13" s="12" t="n">
        <v>200</v>
      </c>
      <c r="C13" s="9" t="n"/>
      <c r="D13" s="10" t="inlineStr">
        <is>
          <t>Dato de EcoAlaya: 5 mL/L de A, B y C; concentrados de 5 L.</t>
        </is>
      </c>
    </row>
    <row r="14">
      <c r="A14" s="7" t="inlineStr">
        <is>
          <t>Costo del juego de 200 L (materia prima + envase)</t>
        </is>
      </c>
      <c r="B14" s="8" t="n">
        <v>16</v>
      </c>
      <c r="C14" s="9" t="n"/>
      <c r="D14" s="10" t="inlineStr">
        <is>
          <t>SUPUESTO: 40 % del precio. Reemplázalo por tu costo real.</t>
        </is>
      </c>
    </row>
    <row r="15">
      <c r="A15" s="7" t="inlineStr">
        <is>
          <t>Litros de solución que usa un cliente al mes</t>
        </is>
      </c>
      <c r="B15" s="12" t="n">
        <v>50</v>
      </c>
      <c r="C15" s="9" t="n"/>
      <c r="D15" s="10" t="inlineStr">
        <is>
          <t>Supuesto: tanque de 20 L cambiado cada 15 días (40 L) + 10 L de reposición.</t>
        </is>
      </c>
    </row>
    <row r="16">
      <c r="A16" s="7" t="inlineStr">
        <is>
          <t>% de clientes que siguen comprando nutrientes</t>
        </is>
      </c>
      <c r="B16" s="11" t="n">
        <v>0.6</v>
      </c>
      <c r="C16" s="9" t="n"/>
      <c r="D16" s="10" t="inlineStr">
        <is>
          <t>Supuesto: 6 de cada 10 clientes siguen cultivando y te compran a ti.</t>
        </is>
      </c>
    </row>
    <row r="17">
      <c r="A17" s="5" t="inlineStr">
        <is>
          <t>Gastos mensuales</t>
        </is>
      </c>
      <c r="B17" s="6" t="n"/>
      <c r="C17" s="6" t="n"/>
      <c r="D17" s="6" t="n"/>
    </row>
    <row r="18">
      <c r="A18" s="7" t="inlineStr">
        <is>
          <t>Publicidad en redes (Facebook, TikTok, Instagram)</t>
        </is>
      </c>
      <c r="B18" s="8" t="n">
        <v>400</v>
      </c>
      <c r="C18" s="9" t="n"/>
      <c r="D18" s="10" t="inlineStr">
        <is>
          <t>Supuesto de presupuesto inicial.</t>
        </is>
      </c>
    </row>
    <row r="19">
      <c r="A19" s="7" t="inlineStr">
        <is>
          <t>Otros gastos fijos (transporte, entregas, datos)</t>
        </is>
      </c>
      <c r="B19" s="8" t="n">
        <v>200</v>
      </c>
      <c r="C19" s="9" t="n"/>
      <c r="D19" s="10" t="inlineStr">
        <is>
          <t>Supuesto.</t>
        </is>
      </c>
    </row>
    <row r="20">
      <c r="A20" s="5" t="inlineStr">
        <is>
          <t>Análisis</t>
        </is>
      </c>
      <c r="B20" s="6" t="n"/>
      <c r="C20" s="6" t="n"/>
      <c r="D20" s="6" t="n"/>
    </row>
    <row r="21">
      <c r="A21" s="7" t="inlineStr">
        <is>
          <t>Meses del análisis</t>
        </is>
      </c>
      <c r="B21" s="12" t="n">
        <v>12</v>
      </c>
      <c r="C21" s="9" t="n"/>
      <c r="D21" s="10" t="inlineStr">
        <is>
          <t>Primer año.</t>
        </is>
      </c>
    </row>
    <row r="23">
      <c r="A23" s="5" t="inlineStr">
        <is>
          <t>Resultados por unidad (calculados)</t>
        </is>
      </c>
      <c r="B23" s="6" t="n"/>
      <c r="C23" s="6" t="n"/>
      <c r="D23" s="6" t="n"/>
    </row>
    <row r="24">
      <c r="A24" s="7" t="inlineStr">
        <is>
          <t>Ganancia por torre</t>
        </is>
      </c>
      <c r="B24" s="13">
        <f>Supuestos!$B$6-Supuestos!$B$7</f>
        <v/>
      </c>
      <c r="C24" s="9" t="n"/>
      <c r="D24" s="9" t="n"/>
    </row>
    <row r="25">
      <c r="A25" s="7" t="inlineStr">
        <is>
          <t>Ganancia por NFT</t>
        </is>
      </c>
      <c r="B25" s="13">
        <f>Supuestos!$B$8-Supuestos!$B$9</f>
        <v/>
      </c>
      <c r="C25" s="9" t="n"/>
      <c r="D25" s="9" t="n"/>
    </row>
    <row r="26">
      <c r="A26" s="7" t="inlineStr">
        <is>
          <t>Precio promedio por sistema</t>
        </is>
      </c>
      <c r="B26" s="13">
        <f>Supuestos!$B$10*Supuestos!$B$6+(1-Supuestos!$B$10)*Supuestos!$B$8</f>
        <v/>
      </c>
      <c r="C26" s="9" t="n"/>
      <c r="D26" s="9" t="n"/>
    </row>
    <row r="27">
      <c r="A27" s="14" t="inlineStr">
        <is>
          <t>Ganancia promedio por sistema</t>
        </is>
      </c>
      <c r="B27" s="13">
        <f>Supuestos!$B$10*B24+(1-Supuestos!$B$10)*B25</f>
        <v/>
      </c>
      <c r="C27" s="9" t="n"/>
      <c r="D27" s="9" t="n"/>
    </row>
    <row r="28">
      <c r="A28" s="7" t="inlineStr">
        <is>
          <t>Margen promedio (%)</t>
        </is>
      </c>
      <c r="B28" s="15">
        <f>IF(B26=0,0,B27/B26)</f>
        <v/>
      </c>
      <c r="C28" s="9" t="n"/>
      <c r="D28" s="9" t="n"/>
    </row>
    <row r="29">
      <c r="A29" s="7" t="inlineStr">
        <is>
          <t>Meses que le dura un juego de 200 L a un cliente</t>
        </is>
      </c>
      <c r="B29" s="16">
        <f>IF(Supuestos!$B$15=0,0,Supuestos!$B$13/Supuestos!$B$15)</f>
        <v/>
      </c>
      <c r="C29" s="9" t="n"/>
      <c r="D29" s="9" t="n"/>
    </row>
    <row r="30">
      <c r="A30" s="7" t="inlineStr">
        <is>
          <t>Ingreso por nutrientes por cliente activo al mes</t>
        </is>
      </c>
      <c r="B30" s="17">
        <f>IF(B29=0,0,Supuestos!$B$12/B29)</f>
        <v/>
      </c>
      <c r="C30" s="9" t="n"/>
      <c r="D30" s="9" t="n"/>
    </row>
    <row r="31">
      <c r="A31" s="7" t="inlineStr">
        <is>
          <t>Ganancia por nutrientes por cliente activo al mes</t>
        </is>
      </c>
      <c r="B31" s="17">
        <f>IF(B29=0,0,(Supuestos!$B$12-Supuestos!$B$14)/B29)</f>
        <v/>
      </c>
      <c r="C31" s="9" t="n"/>
      <c r="D31" s="9" t="n"/>
    </row>
    <row r="32">
      <c r="A32" s="7" t="inlineStr">
        <is>
          <t>Gastos mensuales totales</t>
        </is>
      </c>
      <c r="B32" s="13">
        <f>Supuestos!$B$18+Supuestos!$B$19</f>
        <v/>
      </c>
      <c r="C32" s="9" t="n"/>
      <c r="D32" s="9" t="n"/>
    </row>
    <row r="33">
      <c r="A33" s="14" t="inlineStr">
        <is>
          <t>Sistemas al mes para no perder dinero (punto de equilibrio)</t>
        </is>
      </c>
      <c r="B33" s="18">
        <f>IF(B27&lt;=0,0,ROUNDUP(B32/B27,0))</f>
        <v/>
      </c>
      <c r="C33" s="9" t="n"/>
      <c r="D33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EcoAlaya · Escenarios del primer año</t>
        </is>
      </c>
    </row>
    <row r="2">
      <c r="A2" s="2" t="inlineStr">
        <is>
          <t>Cambia los sistemas vendidos por mes (azul, fondo amarillo). Supone ventas parejas cada mes.</t>
        </is>
      </c>
    </row>
    <row r="4">
      <c r="A4" s="5" t="inlineStr">
        <is>
          <t>Concepto</t>
        </is>
      </c>
      <c r="B4" s="19" t="inlineStr">
        <is>
          <t>Pesimista</t>
        </is>
      </c>
      <c r="C4" s="19" t="inlineStr">
        <is>
          <t>Normal</t>
        </is>
      </c>
      <c r="D4" s="19" t="inlineStr">
        <is>
          <t>Optimista</t>
        </is>
      </c>
    </row>
    <row r="5">
      <c r="A5" s="7" t="inlineStr">
        <is>
          <t>Sistemas vendidos por mes</t>
        </is>
      </c>
      <c r="B5" s="12" t="n">
        <v>2</v>
      </c>
      <c r="C5" s="12" t="n">
        <v>5</v>
      </c>
      <c r="D5" s="12" t="n">
        <v>10</v>
      </c>
    </row>
    <row r="6">
      <c r="A6" s="7" t="inlineStr">
        <is>
          <t>Sistemas vendidos en el año</t>
        </is>
      </c>
      <c r="B6" s="18">
        <f>B5*Supuestos!$B$21</f>
        <v/>
      </c>
      <c r="C6" s="18">
        <f>C5*Supuestos!$B$21</f>
        <v/>
      </c>
      <c r="D6" s="18">
        <f>D5*Supuestos!$B$21</f>
        <v/>
      </c>
    </row>
    <row r="7">
      <c r="A7" s="7" t="inlineStr">
        <is>
          <t>Ingreso por sistemas en el año</t>
        </is>
      </c>
      <c r="B7" s="13">
        <f>B6*Supuestos!$B$26</f>
        <v/>
      </c>
      <c r="C7" s="13">
        <f>C6*Supuestos!$B$26</f>
        <v/>
      </c>
      <c r="D7" s="13">
        <f>D6*Supuestos!$B$26</f>
        <v/>
      </c>
    </row>
    <row r="8">
      <c r="A8" s="7" t="inlineStr">
        <is>
          <t>Ganancia por sistemas en el año</t>
        </is>
      </c>
      <c r="B8" s="13">
        <f>B6*Supuestos!$B$27</f>
        <v/>
      </c>
      <c r="C8" s="13">
        <f>C6*Supuestos!$B$27</f>
        <v/>
      </c>
      <c r="D8" s="13">
        <f>D6*Supuestos!$B$27</f>
        <v/>
      </c>
    </row>
    <row r="9">
      <c r="A9" s="7" t="inlineStr">
        <is>
          <t>Clientes al final del año</t>
        </is>
      </c>
      <c r="B9" s="18">
        <f>B6</f>
        <v/>
      </c>
      <c r="C9" s="18">
        <f>C6</f>
        <v/>
      </c>
      <c r="D9" s="18">
        <f>D6</f>
        <v/>
      </c>
    </row>
    <row r="10">
      <c r="A10" s="7" t="inlineStr">
        <is>
          <t>Meses-cliente comprando nutrientes</t>
        </is>
      </c>
      <c r="B10" s="18">
        <f>B5*Supuestos!$B$21*(Supuestos!$B$21+1)/2*Supuestos!$B$16</f>
        <v/>
      </c>
      <c r="C10" s="18">
        <f>C5*Supuestos!$B$21*(Supuestos!$B$21+1)/2*Supuestos!$B$16</f>
        <v/>
      </c>
      <c r="D10" s="18">
        <f>D5*Supuestos!$B$21*(Supuestos!$B$21+1)/2*Supuestos!$B$16</f>
        <v/>
      </c>
    </row>
    <row r="11">
      <c r="A11" s="7" t="inlineStr">
        <is>
          <t>Ingreso por nutrientes en el año</t>
        </is>
      </c>
      <c r="B11" s="13">
        <f>B10*Supuestos!$B$30</f>
        <v/>
      </c>
      <c r="C11" s="13">
        <f>C10*Supuestos!$B$30</f>
        <v/>
      </c>
      <c r="D11" s="13">
        <f>D10*Supuestos!$B$30</f>
        <v/>
      </c>
    </row>
    <row r="12">
      <c r="A12" s="7" t="inlineStr">
        <is>
          <t>Ganancia por nutrientes en el año</t>
        </is>
      </c>
      <c r="B12" s="13">
        <f>B10*Supuestos!$B$31</f>
        <v/>
      </c>
      <c r="C12" s="13">
        <f>C10*Supuestos!$B$31</f>
        <v/>
      </c>
      <c r="D12" s="13">
        <f>D10*Supuestos!$B$31</f>
        <v/>
      </c>
    </row>
    <row r="13">
      <c r="A13" s="7" t="inlineStr">
        <is>
          <t>Gastos del año (publicidad + fijos)</t>
        </is>
      </c>
      <c r="B13" s="13">
        <f>Supuestos!$B$32*Supuestos!$B$21</f>
        <v/>
      </c>
      <c r="C13" s="13">
        <f>Supuestos!$B$32*Supuestos!$B$21</f>
        <v/>
      </c>
      <c r="D13" s="13">
        <f>Supuestos!$B$32*Supuestos!$B$21</f>
        <v/>
      </c>
    </row>
    <row r="14">
      <c r="A14" s="20" t="inlineStr">
        <is>
          <t>GANANCIA NETA DEL AÑO</t>
        </is>
      </c>
      <c r="B14" s="21">
        <f>B8+B12-B13</f>
        <v/>
      </c>
      <c r="C14" s="21">
        <f>C8+C12-C13</f>
        <v/>
      </c>
      <c r="D14" s="21">
        <f>D8+D12-D13</f>
        <v/>
      </c>
    </row>
    <row r="15">
      <c r="A15" s="7" t="inlineStr">
        <is>
          <t>Ganancia neta promedio por mes</t>
        </is>
      </c>
      <c r="B15" s="13">
        <f>IF(Supuestos!$B$21=0,0,B14/Supuestos!$B$21)</f>
        <v/>
      </c>
      <c r="C15" s="13">
        <f>IF(Supuestos!$B$21=0,0,C14/Supuestos!$B$21)</f>
        <v/>
      </c>
      <c r="D15" s="13">
        <f>IF(Supuestos!$B$21=0,0,D14/Supuestos!$B$21)</f>
        <v/>
      </c>
    </row>
    <row r="16">
      <c r="A16" s="7" t="inlineStr">
        <is>
          <t>Ingreso por nutrientes en el último mes</t>
        </is>
      </c>
      <c r="B16" s="13">
        <f>B5*Supuestos!$B$21*Supuestos!$B$16*Supuestos!$B$30</f>
        <v/>
      </c>
      <c r="C16" s="13">
        <f>C5*Supuestos!$B$21*Supuestos!$B$16*Supuestos!$B$30</f>
        <v/>
      </c>
      <c r="D16" s="13">
        <f>D5*Supuestos!$B$21*Supuestos!$B$16*Supuestos!$B$30</f>
        <v/>
      </c>
    </row>
    <row r="18">
      <c r="A18" s="22" t="inlineStr">
        <is>
          <t>Punto de equilibrio: sistemas al mes para cubrir los gastos</t>
        </is>
      </c>
      <c r="B18" s="23">
        <f>Supuestos!$B$33</f>
        <v/>
      </c>
    </row>
    <row r="20">
      <c r="A20" s="22" t="inlineStr">
        <is>
          <t>Notas</t>
        </is>
      </c>
    </row>
    <row r="21">
      <c r="A21" s="24" t="inlineStr">
        <is>
          <t>• Los clientes empiezan a comprar nutrientes el mes en que compran su sistema.</t>
        </is>
      </c>
    </row>
    <row r="22">
      <c r="A22" s="24" t="inlineStr">
        <is>
          <t>• Los sistemas vendidos por mes son supuestos; cámbialos cuando tengas ventas reales.</t>
        </is>
      </c>
    </row>
    <row r="23">
      <c r="A23" s="24" t="inlineStr">
        <is>
          <t>• No incluye semillas, ampliaciones, talleres ni ventas a colegios, que serían ingresos extra.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EcoAlaya · Proyección mes a mes</t>
        </is>
      </c>
    </row>
    <row r="2">
      <c r="A2" s="25" t="inlineStr">
        <is>
          <t>Escenario (1 = pesimista, 2 = normal, 3 = optimista):</t>
        </is>
      </c>
      <c r="F2" s="26" t="n">
        <v>2</v>
      </c>
      <c r="G2" s="27">
        <f>INDEX(Escenarios!$B$4:$D$4,1,$F$2)</f>
        <v/>
      </c>
    </row>
    <row r="3">
      <c r="A3" t="inlineStr">
        <is>
          <t>Sistemas por mes en este escenario:</t>
        </is>
      </c>
      <c r="F3" s="27">
        <f>INDEX(Escenarios!$B$5:$D$5,1,$F$2)</f>
        <v/>
      </c>
    </row>
    <row r="5" ht="42" customHeight="1">
      <c r="A5" s="28" t="inlineStr">
        <is>
          <t>Mes</t>
        </is>
      </c>
      <c r="B5" s="28" t="inlineStr">
        <is>
          <t>Sistemas vendidos</t>
        </is>
      </c>
      <c r="C5" s="28" t="inlineStr">
        <is>
          <t>Ingreso sistemas</t>
        </is>
      </c>
      <c r="D5" s="28" t="inlineStr">
        <is>
          <t>Ganancia sistemas</t>
        </is>
      </c>
      <c r="E5" s="28" t="inlineStr">
        <is>
          <t>Clientes acumulados</t>
        </is>
      </c>
      <c r="F5" s="28" t="inlineStr">
        <is>
          <t>Clientes activos (nutrientes)</t>
        </is>
      </c>
      <c r="G5" s="28" t="inlineStr">
        <is>
          <t>Ganancia nutrientes</t>
        </is>
      </c>
      <c r="H5" s="28" t="inlineStr">
        <is>
          <t>Gastos</t>
        </is>
      </c>
      <c r="I5" s="28" t="inlineStr">
        <is>
          <t>Ganancia neta acumulada</t>
        </is>
      </c>
    </row>
    <row r="6">
      <c r="A6" s="7" t="inlineStr">
        <is>
          <t>1</t>
        </is>
      </c>
      <c r="B6" s="18">
        <f>$F$3</f>
        <v/>
      </c>
      <c r="C6" s="13">
        <f>B6*Supuestos!$B$26</f>
        <v/>
      </c>
      <c r="D6" s="13">
        <f>B6*Supuestos!$B$27</f>
        <v/>
      </c>
      <c r="E6" s="18">
        <f>B6</f>
        <v/>
      </c>
      <c r="F6" s="16">
        <f>E6*Supuestos!$B$16</f>
        <v/>
      </c>
      <c r="G6" s="13">
        <f>F6*Supuestos!$B$31</f>
        <v/>
      </c>
      <c r="H6" s="13">
        <f>Supuestos!$B$32</f>
        <v/>
      </c>
      <c r="I6" s="13">
        <f>D6+G6-H6</f>
        <v/>
      </c>
    </row>
    <row r="7">
      <c r="A7" s="7" t="inlineStr">
        <is>
          <t>2</t>
        </is>
      </c>
      <c r="B7" s="18">
        <f>$F$3</f>
        <v/>
      </c>
      <c r="C7" s="13">
        <f>B7*Supuestos!$B$26</f>
        <v/>
      </c>
      <c r="D7" s="13">
        <f>B7*Supuestos!$B$27</f>
        <v/>
      </c>
      <c r="E7" s="18">
        <f>E6+B7</f>
        <v/>
      </c>
      <c r="F7" s="16">
        <f>E7*Supuestos!$B$16</f>
        <v/>
      </c>
      <c r="G7" s="13">
        <f>F7*Supuestos!$B$31</f>
        <v/>
      </c>
      <c r="H7" s="13">
        <f>Supuestos!$B$32</f>
        <v/>
      </c>
      <c r="I7" s="13">
        <f>I6+D7+G7-H7</f>
        <v/>
      </c>
    </row>
    <row r="8">
      <c r="A8" s="7" t="inlineStr">
        <is>
          <t>3</t>
        </is>
      </c>
      <c r="B8" s="18">
        <f>$F$3</f>
        <v/>
      </c>
      <c r="C8" s="13">
        <f>B8*Supuestos!$B$26</f>
        <v/>
      </c>
      <c r="D8" s="13">
        <f>B8*Supuestos!$B$27</f>
        <v/>
      </c>
      <c r="E8" s="18">
        <f>E7+B8</f>
        <v/>
      </c>
      <c r="F8" s="16">
        <f>E8*Supuestos!$B$16</f>
        <v/>
      </c>
      <c r="G8" s="13">
        <f>F8*Supuestos!$B$31</f>
        <v/>
      </c>
      <c r="H8" s="13">
        <f>Supuestos!$B$32</f>
        <v/>
      </c>
      <c r="I8" s="13">
        <f>I7+D8+G8-H8</f>
        <v/>
      </c>
    </row>
    <row r="9">
      <c r="A9" s="7" t="inlineStr">
        <is>
          <t>4</t>
        </is>
      </c>
      <c r="B9" s="18">
        <f>$F$3</f>
        <v/>
      </c>
      <c r="C9" s="13">
        <f>B9*Supuestos!$B$26</f>
        <v/>
      </c>
      <c r="D9" s="13">
        <f>B9*Supuestos!$B$27</f>
        <v/>
      </c>
      <c r="E9" s="18">
        <f>E8+B9</f>
        <v/>
      </c>
      <c r="F9" s="16">
        <f>E9*Supuestos!$B$16</f>
        <v/>
      </c>
      <c r="G9" s="13">
        <f>F9*Supuestos!$B$31</f>
        <v/>
      </c>
      <c r="H9" s="13">
        <f>Supuestos!$B$32</f>
        <v/>
      </c>
      <c r="I9" s="13">
        <f>I8+D9+G9-H9</f>
        <v/>
      </c>
    </row>
    <row r="10">
      <c r="A10" s="7" t="inlineStr">
        <is>
          <t>5</t>
        </is>
      </c>
      <c r="B10" s="18">
        <f>$F$3</f>
        <v/>
      </c>
      <c r="C10" s="13">
        <f>B10*Supuestos!$B$26</f>
        <v/>
      </c>
      <c r="D10" s="13">
        <f>B10*Supuestos!$B$27</f>
        <v/>
      </c>
      <c r="E10" s="18">
        <f>E9+B10</f>
        <v/>
      </c>
      <c r="F10" s="16">
        <f>E10*Supuestos!$B$16</f>
        <v/>
      </c>
      <c r="G10" s="13">
        <f>F10*Supuestos!$B$31</f>
        <v/>
      </c>
      <c r="H10" s="13">
        <f>Supuestos!$B$32</f>
        <v/>
      </c>
      <c r="I10" s="13">
        <f>I9+D10+G10-H10</f>
        <v/>
      </c>
    </row>
    <row r="11">
      <c r="A11" s="7" t="inlineStr">
        <is>
          <t>6</t>
        </is>
      </c>
      <c r="B11" s="18">
        <f>$F$3</f>
        <v/>
      </c>
      <c r="C11" s="13">
        <f>B11*Supuestos!$B$26</f>
        <v/>
      </c>
      <c r="D11" s="13">
        <f>B11*Supuestos!$B$27</f>
        <v/>
      </c>
      <c r="E11" s="18">
        <f>E10+B11</f>
        <v/>
      </c>
      <c r="F11" s="16">
        <f>E11*Supuestos!$B$16</f>
        <v/>
      </c>
      <c r="G11" s="13">
        <f>F11*Supuestos!$B$31</f>
        <v/>
      </c>
      <c r="H11" s="13">
        <f>Supuestos!$B$32</f>
        <v/>
      </c>
      <c r="I11" s="13">
        <f>I10+D11+G11-H11</f>
        <v/>
      </c>
    </row>
    <row r="12">
      <c r="A12" s="7" t="inlineStr">
        <is>
          <t>7</t>
        </is>
      </c>
      <c r="B12" s="18">
        <f>$F$3</f>
        <v/>
      </c>
      <c r="C12" s="13">
        <f>B12*Supuestos!$B$26</f>
        <v/>
      </c>
      <c r="D12" s="13">
        <f>B12*Supuestos!$B$27</f>
        <v/>
      </c>
      <c r="E12" s="18">
        <f>E11+B12</f>
        <v/>
      </c>
      <c r="F12" s="16">
        <f>E12*Supuestos!$B$16</f>
        <v/>
      </c>
      <c r="G12" s="13">
        <f>F12*Supuestos!$B$31</f>
        <v/>
      </c>
      <c r="H12" s="13">
        <f>Supuestos!$B$32</f>
        <v/>
      </c>
      <c r="I12" s="13">
        <f>I11+D12+G12-H12</f>
        <v/>
      </c>
    </row>
    <row r="13">
      <c r="A13" s="7" t="inlineStr">
        <is>
          <t>8</t>
        </is>
      </c>
      <c r="B13" s="18">
        <f>$F$3</f>
        <v/>
      </c>
      <c r="C13" s="13">
        <f>B13*Supuestos!$B$26</f>
        <v/>
      </c>
      <c r="D13" s="13">
        <f>B13*Supuestos!$B$27</f>
        <v/>
      </c>
      <c r="E13" s="18">
        <f>E12+B13</f>
        <v/>
      </c>
      <c r="F13" s="16">
        <f>E13*Supuestos!$B$16</f>
        <v/>
      </c>
      <c r="G13" s="13">
        <f>F13*Supuestos!$B$31</f>
        <v/>
      </c>
      <c r="H13" s="13">
        <f>Supuestos!$B$32</f>
        <v/>
      </c>
      <c r="I13" s="13">
        <f>I12+D13+G13-H13</f>
        <v/>
      </c>
    </row>
    <row r="14">
      <c r="A14" s="7" t="inlineStr">
        <is>
          <t>9</t>
        </is>
      </c>
      <c r="B14" s="18">
        <f>$F$3</f>
        <v/>
      </c>
      <c r="C14" s="13">
        <f>B14*Supuestos!$B$26</f>
        <v/>
      </c>
      <c r="D14" s="13">
        <f>B14*Supuestos!$B$27</f>
        <v/>
      </c>
      <c r="E14" s="18">
        <f>E13+B14</f>
        <v/>
      </c>
      <c r="F14" s="16">
        <f>E14*Supuestos!$B$16</f>
        <v/>
      </c>
      <c r="G14" s="13">
        <f>F14*Supuestos!$B$31</f>
        <v/>
      </c>
      <c r="H14" s="13">
        <f>Supuestos!$B$32</f>
        <v/>
      </c>
      <c r="I14" s="13">
        <f>I13+D14+G14-H14</f>
        <v/>
      </c>
    </row>
    <row r="15">
      <c r="A15" s="7" t="inlineStr">
        <is>
          <t>10</t>
        </is>
      </c>
      <c r="B15" s="18">
        <f>$F$3</f>
        <v/>
      </c>
      <c r="C15" s="13">
        <f>B15*Supuestos!$B$26</f>
        <v/>
      </c>
      <c r="D15" s="13">
        <f>B15*Supuestos!$B$27</f>
        <v/>
      </c>
      <c r="E15" s="18">
        <f>E14+B15</f>
        <v/>
      </c>
      <c r="F15" s="16">
        <f>E15*Supuestos!$B$16</f>
        <v/>
      </c>
      <c r="G15" s="13">
        <f>F15*Supuestos!$B$31</f>
        <v/>
      </c>
      <c r="H15" s="13">
        <f>Supuestos!$B$32</f>
        <v/>
      </c>
      <c r="I15" s="13">
        <f>I14+D15+G15-H15</f>
        <v/>
      </c>
    </row>
    <row r="16">
      <c r="A16" s="7" t="inlineStr">
        <is>
          <t>11</t>
        </is>
      </c>
      <c r="B16" s="18">
        <f>$F$3</f>
        <v/>
      </c>
      <c r="C16" s="13">
        <f>B16*Supuestos!$B$26</f>
        <v/>
      </c>
      <c r="D16" s="13">
        <f>B16*Supuestos!$B$27</f>
        <v/>
      </c>
      <c r="E16" s="18">
        <f>E15+B16</f>
        <v/>
      </c>
      <c r="F16" s="16">
        <f>E16*Supuestos!$B$16</f>
        <v/>
      </c>
      <c r="G16" s="13">
        <f>F16*Supuestos!$B$31</f>
        <v/>
      </c>
      <c r="H16" s="13">
        <f>Supuestos!$B$32</f>
        <v/>
      </c>
      <c r="I16" s="13">
        <f>I15+D16+G16-H16</f>
        <v/>
      </c>
    </row>
    <row r="17">
      <c r="A17" s="7" t="inlineStr">
        <is>
          <t>12</t>
        </is>
      </c>
      <c r="B17" s="18">
        <f>$F$3</f>
        <v/>
      </c>
      <c r="C17" s="13">
        <f>B17*Supuestos!$B$26</f>
        <v/>
      </c>
      <c r="D17" s="13">
        <f>B17*Supuestos!$B$27</f>
        <v/>
      </c>
      <c r="E17" s="18">
        <f>E16+B17</f>
        <v/>
      </c>
      <c r="F17" s="16">
        <f>E17*Supuestos!$B$16</f>
        <v/>
      </c>
      <c r="G17" s="13">
        <f>F17*Supuestos!$B$31</f>
        <v/>
      </c>
      <c r="H17" s="13">
        <f>Supuestos!$B$32</f>
        <v/>
      </c>
      <c r="I17" s="13">
        <f>I16+D17+G17-H17</f>
        <v/>
      </c>
    </row>
    <row r="18">
      <c r="A18" s="29" t="inlineStr">
        <is>
          <t>Total</t>
        </is>
      </c>
      <c r="B18" s="30">
        <f>SUM(B6:B17)</f>
        <v/>
      </c>
      <c r="C18" s="31">
        <f>SUM(C6:C17)</f>
        <v/>
      </c>
      <c r="D18" s="31">
        <f>SUM(D6:D17)</f>
        <v/>
      </c>
      <c r="E18" s="32" t="n"/>
      <c r="F18" s="32" t="n"/>
      <c r="G18" s="31">
        <f>SUM(G6:G17)</f>
        <v/>
      </c>
      <c r="H18" s="31">
        <f>SUM(H6:H17)</f>
        <v/>
      </c>
      <c r="I18" s="31">
        <f>I17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2026-09-27T20:46:28Z</dcterms:created>
  <dcterms:modified xsi:type="dcterms:W3CDTF">2026-09-27T20:46:28Z</dcterms:modified>
</cp:coreProperties>
</file>